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<sst xmlns="http://schemas.openxmlformats.org/spreadsheetml/2006/main" count="65" uniqueCount="53">
  <si>
    <t xml:space="preserve">WEEKLY TIMESHEET</t>
  </si>
  <si>
    <t xml:space="preserve">Northwind Workforce Partners</t>
  </si>
  <si>
    <t xml:space="preserve">Employee Name</t>
  </si>
  <si>
    <t xml:space="preserve">Marcus Allen</t>
  </si>
  <si>
    <t xml:space="preserve">Project</t>
  </si>
  <si>
    <t xml:space="preserve">Omnichannel Inventory Sync</t>
  </si>
  <si>
    <t xml:space="preserve">Employee ID</t>
  </si>
  <si>
    <t xml:space="preserve">SYN-EMP-003</t>
  </si>
  <si>
    <t xml:space="preserve">Assignment ID</t>
  </si>
  <si>
    <t xml:space="preserve">ASG-2026-1003</t>
  </si>
  <si>
    <t xml:space="preserve">Staffing Agency</t>
  </si>
  <si>
    <t xml:space="preserve">Week Ending</t>
  </si>
  <si>
    <t xml:space="preserve">Client</t>
  </si>
  <si>
    <t xml:space="preserve">Cobalt Retail Group</t>
  </si>
  <si>
    <t xml:space="preserve">Pay Period</t>
  </si>
  <si>
    <t xml:space="preserve">2026-09-14 to 2026-09-20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</si>
  <si>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</si>
  <si>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</si>
  <si>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</si>
  <si>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</si>
  <si>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</si>
  <si>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</si>
  <si>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</si>
  <si>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</si>
  <si>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</si>
  <si>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</si>
  <si>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</si>
  <si>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</si>
  <si>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</si>
  <si>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</si>
  <si>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</si>
  <si>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</si>
  <si>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REG/OT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</si>
  <si>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</si>
  <si>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</si>
  <si>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</si>
  <si>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</si>
  <si>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</si>
  <si>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</si>
  <si>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</si>
  <si>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</si>
  <si>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</si>
  <si>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</si>
  <si>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</si>
  <si>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</si>
  <si>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</si>
  <si>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</si>
  <si>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Marcus Allen</t>
  </si>
  <si>
    <t xml:space="preserve">Supervisor Approval</t>
  </si>
  <si>
    <t xml:space="preserve">/s/ Arjun Mehta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</si>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</sst>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A9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46285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46279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46280</v>
      </c>
      <c r="B12" s="9" t="s">
        <v>31</v>
      </c>
      <c r="C12" s="10" t="n">
        <v>0.333333333333333</v>
      </c>
      <c r="D12" s="10" t="n">
        <v>0.770833333333333</v>
      </c>
      <c r="E12" s="9" t="n">
        <v>30</v>
      </c>
      <c r="F12" s="9" t="n">
        <f aca="false">ROUND((D12-C12)*24-E12/60,2)</f>
        <v>10</v>
      </c>
      <c r="G12" s="9" t="n">
        <f aca="false">IF(J12="Y",0,MIN(8,F12))</f>
        <v>8</v>
      </c>
      <c r="H12" s="9" t="n">
        <f aca="false">IF(J12="Y",0,MAX(0,F12-8))</f>
        <v>2</v>
      </c>
      <c r="I12" s="9" t="n">
        <v>0</v>
      </c>
      <c r="J12" s="9" t="s">
        <v>29</v>
      </c>
      <c r="K12" s="9" t="s">
        <v>32</v>
      </c>
      <c r="L12" s="11"/>
    </row>
    <row r="13" customFormat="false" ht="15" hidden="false" customHeight="false" outlineLevel="0" collapsed="false">
      <c r="A13" s="8" t="n">
        <v>46281</v>
      </c>
      <c r="B13" s="9" t="s">
        <v>33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46282</v>
      </c>
      <c r="B14" s="9" t="s">
        <v>34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46283</v>
      </c>
      <c r="B15" s="9" t="s">
        <v>35</v>
      </c>
      <c r="C15" s="10" t="n">
        <v>0.375</v>
      </c>
      <c r="D15" s="10" t="n">
        <v>0.645833333333333</v>
      </c>
      <c r="E15" s="9" t="n">
        <v>30</v>
      </c>
      <c r="F15" s="9" t="n">
        <f aca="false">ROUND((D15-C15)*24-E15/60,2)</f>
        <v>6</v>
      </c>
      <c r="G15" s="9" t="n">
        <f aca="false">IF(J15="Y",0,MIN(8,F15))</f>
        <v>6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46284</v>
      </c>
      <c r="B16" s="9" t="s">
        <v>36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37</v>
      </c>
    </row>
    <row r="17" customFormat="false" ht="15" hidden="false" customHeight="false" outlineLevel="0" collapsed="false">
      <c r="A17" s="8" t="n">
        <v>46285</v>
      </c>
      <c r="B17" s="9" t="s">
        <v>38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37</v>
      </c>
    </row>
    <row r="18" customFormat="false" ht="15" hidden="false" customHeight="false" outlineLevel="0" collapsed="false">
      <c r="A18" s="12" t="s">
        <v>39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38</v>
      </c>
      <c r="H18" s="12" t="n">
        <f aca="false">SUM(H11:H17)</f>
        <v>2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40</v>
      </c>
    </row>
    <row r="21" customFormat="false" ht="15" hidden="false" customHeight="false" outlineLevel="0" collapsed="false">
      <c r="A21" s="5" t="s">
        <v>41</v>
      </c>
      <c r="F21" s="4" t="n">
        <f aca="false">SUM(G11:G17)-MAX(0,SUM(G11:G17)-40)</f>
        <v>38</v>
      </c>
    </row>
    <row r="22" customFormat="false" ht="15" hidden="false" customHeight="false" outlineLevel="0" collapsed="false">
      <c r="A22" s="5" t="s">
        <v>42</v>
      </c>
      <c r="F22" s="4" t="n">
        <f aca="false">SUM(H11:H17)+MAX(0,SUM(G11:G17)-40)</f>
        <v>2</v>
      </c>
    </row>
    <row r="23" customFormat="false" ht="15" hidden="false" customHeight="false" outlineLevel="0" collapsed="false">
      <c r="A23" s="5" t="s">
        <v>43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44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45</v>
      </c>
      <c r="F25" s="4" t="n">
        <f aca="false">F18</f>
        <v>40</v>
      </c>
    </row>
    <row r="27" customFormat="false" ht="15" hidden="false" customHeight="false" outlineLevel="0" collapsed="false">
      <c r="A27" s="4" t="s">
        <v>46</v>
      </c>
      <c r="B27" s="13" t="s">
        <v>47</v>
      </c>
      <c r="G27" s="4" t="s">
        <v>16</v>
      </c>
      <c r="H27" s="14" t="n">
        <v>46285</v>
      </c>
    </row>
    <row r="28" customFormat="false" ht="15" hidden="false" customHeight="false" outlineLevel="0" collapsed="false">
      <c r="A28" s="4" t="s">
        <v>48</v>
      </c>
      <c r="B28" s="13" t="s">
        <v>49</v>
      </c>
      <c r="G28" s="4" t="s">
        <v>50</v>
      </c>
      <c r="H28" s="15" t="s">
        <v>51</v>
      </c>
    </row>
    <row r="30" customFormat="false" ht="15" hidden="false" customHeight="false" outlineLevel="0" collapsed="false">
      <c r="A30" s="1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2026-10-09T05:00:53Z</dcterms:created>
  <dc:creator>Synthetic Timesheet Generator</dc:creator>
  <dc:description/>
  <dc:language>en-US</dc:language>
  <cp:lastModifiedBy/>
  <dcterms:modified xsi:type="dcterms:W3CDTF">2026-10-09T05:00:53Z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