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<sst xmlns="http://schemas.openxmlformats.org/spreadsheetml/2006/main" count="66" uniqueCount="55">
  <si>
    <t xml:space="preserve">WEEKLY TIMESHEET</t>
  </si>
  <si>
    <t xml:space="preserve">ABC Staffing Solutions Pvt Ltd</t>
  </si>
  <si>
    <t xml:space="preserve">Employee Name</t>
  </si>
  <si>
    <t xml:space="preserve">Mei Lin Chen</t>
  </si>
  <si>
    <t xml:space="preserve">Project</t>
  </si>
  <si>
    <t xml:space="preserve">Patient Data Platform Migration</t>
  </si>
  <si>
    <t xml:space="preserve">Employee ID</t>
  </si>
  <si>
    <t xml:space="preserve">SYN-EMP-012</t>
  </si>
  <si>
    <t xml:space="preserve">Assignment ID</t>
  </si>
  <si>
    <t xml:space="preserve">ASG-2026-1012</t>
  </si>
  <si>
    <t xml:space="preserve">Staffing Agency</t>
  </si>
  <si>
    <t xml:space="preserve">Week Ending</t>
  </si>
  <si>
    <t xml:space="preserve">Client</t>
  </si>
  <si>
    <t xml:space="preserve">Meridian Health Analytics</t>
  </si>
  <si>
    <t xml:space="preserve">Pay Period</t>
  </si>
  <si>
    <t xml:space="preserve">2026-09-07 to 2026-09-13</t>
  </si>
  <si>
    <t xml:space="preserve">Date</t>
  </si>
  <si>
    <t xml:space="preserve">Day</t>
  </si>
  <si>
    <t xml:space="preserve">Start</t>
  </si>
  <si>
    <t xml:space="preserve">End</t>
  </si>
  <si>
    <t xml:space="preserve">Break (min)</t>
  </si>
  <si>
    <t xml:space="preserve">Hours Worked</t>
  </si>
  <si>
    <t xml:space="preserve">Regular</t>
  </si>
  <si>
    <t xml:space="preserve">Overtime</t>
  </si>
  <si>
    <t xml:space="preserve">Double Time</t>
  </si>
  <si>
    <t xml:space="preserve">Public Holiday</t>
  </si>
  <si>
    <t xml:space="preserve">Pay Code</t>
  </si>
  <si>
    <t xml:space="preserve">Notes</t>
  </si>
  <si>
    <t xml:space="preserve">Mon</t>
  </si>
  <si>
    <t xml:space="preserve">Y</t>
  </si>
  <si>
    <t xml:space="preserve">HOL</t>
  </si>
  <si>
    <t xml:space="preserve">Public holiday: Labor Day</t>
  </si>
  <si>
    <t xml:space="preserve">Tue</t>
  </si>
  <si>
    <t xml:space="preserve">N</t>
  </si>
  <si>
    <t xml:space="preserve">REG</t>
  </si>
  <si>
    <t xml:space="preserve">Wed</t>
  </si>
  <si>
    <t xml:space="preserve">Thu</t>
  </si>
  <si>
    <t xml:space="preserve">Fri</t>
  </si>
  <si>
    <t xml:space="preserve">Sat</t>
  </si>
  <si>
    <t xml:space="preserve">Off</t>
  </si>
  <si>
    <t xml:space="preserve">Sun</t>
  </si>
  <si>
    <t xml:space="preserve">TOTAL</t>
  </si>
  <si>
    <t xml:space="preserve">Weekly Summary</t>
  </si>
  <si>
    <t xml:space="preserve">Regular Hours</t>
  </si>
  <si>
    <t xml:space="preserve">Overtime Hours</t>
  </si>
  <si>
    <t xml:space="preserve">Double-Time Hours</t>
  </si>
  <si>
    <t xml:space="preserve">Public Holiday Hours</t>
  </si>
  <si>
    <t xml:space="preserve">Total Hours</t>
  </si>
  <si>
    <t xml:space="preserve">Employee Signature</t>
  </si>
  <si>
    <t xml:space="preserve">/s/ Mei Lin Chen</t>
  </si>
  <si>
    <t xml:space="preserve">Supervisor Approval</t>
  </si>
  <si>
    <t xml:space="preserve">/s/ Claire Donovan</t>
  </si>
  <si>
    <t xml:space="preserve">Status</t>
  </si>
  <si>
    <t xml:space="preserve">APPROVED</t>
  </si>
  <si>
    <t xml:space="preserve">SYNTHETIC TEST DOCUMENT - fictional people, companies and 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</si>
</sst>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2"/>
      <color rgb="FF1F3A93"/>
      <name val="Times New Roman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A9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1F3A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4" t="s">
        <v>2</v>
      </c>
      <c r="B4" s="5" t="s">
        <v>3</v>
      </c>
      <c r="F4" s="4" t="s">
        <v>4</v>
      </c>
      <c r="H4" s="5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F5" s="4" t="s">
        <v>8</v>
      </c>
      <c r="H5" s="5" t="s">
        <v>9</v>
      </c>
    </row>
    <row r="6" customFormat="false" ht="15" hidden="false" customHeight="false" outlineLevel="0" collapsed="false">
      <c r="A6" s="4" t="s">
        <v>10</v>
      </c>
      <c r="B6" s="5" t="s">
        <v>1</v>
      </c>
      <c r="F6" s="4" t="s">
        <v>11</v>
      </c>
      <c r="H6" s="6" t="n">
        <v>46278</v>
      </c>
    </row>
    <row r="7" customFormat="false" ht="15" hidden="false" customHeight="false" outlineLevel="0" collapsed="false">
      <c r="A7" s="4" t="s">
        <v>12</v>
      </c>
      <c r="B7" s="5" t="s">
        <v>13</v>
      </c>
      <c r="F7" s="4" t="s">
        <v>14</v>
      </c>
      <c r="H7" s="5" t="s">
        <v>15</v>
      </c>
    </row>
    <row r="10" customFormat="false" ht="30" hidden="false" customHeight="true" outlineLevel="0" collapsed="false">
      <c r="A10" s="7" t="s">
        <v>16</v>
      </c>
      <c r="B10" s="7" t="s">
        <v>17</v>
      </c>
      <c r="C10" s="7" t="s">
        <v>18</v>
      </c>
      <c r="D10" s="7" t="s">
        <v>19</v>
      </c>
      <c r="E10" s="7" t="s">
        <v>20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25</v>
      </c>
      <c r="K10" s="7" t="s">
        <v>26</v>
      </c>
      <c r="L10" s="7" t="s">
        <v>27</v>
      </c>
    </row>
    <row r="11" customFormat="false" ht="15" hidden="false" customHeight="false" outlineLevel="0" collapsed="false">
      <c r="A11" s="8" t="n">
        <v>46272</v>
      </c>
      <c r="B11" s="9" t="s">
        <v>28</v>
      </c>
      <c r="C11" s="10" t="n">
        <v>0.375</v>
      </c>
      <c r="D11" s="10" t="n">
        <v>0.729166666666667</v>
      </c>
      <c r="E11" s="9" t="n">
        <v>30</v>
      </c>
      <c r="F11" s="9" t="n">
        <f aca="false">ROUND((D11-C11)*24-E11/60,2)</f>
        <v>8</v>
      </c>
      <c r="G11" s="9" t="n">
        <f aca="false">IF(J11="Y",0,MIN(8,F11))</f>
        <v>0</v>
      </c>
      <c r="H11" s="9" t="n">
        <f aca="false">IF(J11="Y",0,MAX(0,F11-8))</f>
        <v>0</v>
      </c>
      <c r="I11" s="9" t="n">
        <v>0</v>
      </c>
      <c r="J11" s="9" t="s">
        <v>29</v>
      </c>
      <c r="K11" s="9" t="s">
        <v>30</v>
      </c>
      <c r="L11" s="11" t="s">
        <v>31</v>
      </c>
    </row>
    <row r="12" customFormat="false" ht="15" hidden="false" customHeight="false" outlineLevel="0" collapsed="false">
      <c r="A12" s="12" t="n">
        <v>46273</v>
      </c>
      <c r="B12" s="13" t="s">
        <v>32</v>
      </c>
      <c r="C12" s="14" t="n">
        <v>0.375</v>
      </c>
      <c r="D12" s="14" t="n">
        <v>0.729166666666667</v>
      </c>
      <c r="E12" s="13" t="n">
        <v>30</v>
      </c>
      <c r="F12" s="13" t="n">
        <f aca="false">ROUND((D12-C12)*24-E12/60,2)</f>
        <v>8</v>
      </c>
      <c r="G12" s="13" t="n">
        <f aca="false">IF(J12="Y",0,MIN(8,F12))</f>
        <v>8</v>
      </c>
      <c r="H12" s="13" t="n">
        <f aca="false">IF(J12="Y",0,MAX(0,F12-8))</f>
        <v>0</v>
      </c>
      <c r="I12" s="13" t="n">
        <v>0</v>
      </c>
      <c r="J12" s="13" t="s">
        <v>33</v>
      </c>
      <c r="K12" s="13" t="s">
        <v>34</v>
      </c>
      <c r="L12" s="15"/>
    </row>
    <row r="13" customFormat="false" ht="15" hidden="false" customHeight="false" outlineLevel="0" collapsed="false">
      <c r="A13" s="12" t="n">
        <v>46274</v>
      </c>
      <c r="B13" s="13" t="s">
        <v>35</v>
      </c>
      <c r="C13" s="14" t="n">
        <v>0.375</v>
      </c>
      <c r="D13" s="14" t="n">
        <v>0.729166666666667</v>
      </c>
      <c r="E13" s="13" t="n">
        <v>30</v>
      </c>
      <c r="F13" s="13" t="n">
        <f aca="false">ROUND((D13-C13)*24-E13/60,2)</f>
        <v>8</v>
      </c>
      <c r="G13" s="13" t="n">
        <f aca="false">IF(J13="Y",0,MIN(8,F13))</f>
        <v>8</v>
      </c>
      <c r="H13" s="13" t="n">
        <f aca="false">IF(J13="Y",0,MAX(0,F13-8))</f>
        <v>0</v>
      </c>
      <c r="I13" s="13" t="n">
        <v>0</v>
      </c>
      <c r="J13" s="13" t="s">
        <v>33</v>
      </c>
      <c r="K13" s="13" t="s">
        <v>34</v>
      </c>
      <c r="L13" s="15"/>
    </row>
    <row r="14" customFormat="false" ht="15" hidden="false" customHeight="false" outlineLevel="0" collapsed="false">
      <c r="A14" s="12" t="n">
        <v>46275</v>
      </c>
      <c r="B14" s="13" t="s">
        <v>36</v>
      </c>
      <c r="C14" s="14" t="n">
        <v>0.375</v>
      </c>
      <c r="D14" s="14" t="n">
        <v>0.729166666666667</v>
      </c>
      <c r="E14" s="13" t="n">
        <v>30</v>
      </c>
      <c r="F14" s="13" t="n">
        <f aca="false">ROUND((D14-C14)*24-E14/60,2)</f>
        <v>8</v>
      </c>
      <c r="G14" s="13" t="n">
        <f aca="false">IF(J14="Y",0,MIN(8,F14))</f>
        <v>8</v>
      </c>
      <c r="H14" s="13" t="n">
        <f aca="false">IF(J14="Y",0,MAX(0,F14-8))</f>
        <v>0</v>
      </c>
      <c r="I14" s="13" t="n">
        <v>0</v>
      </c>
      <c r="J14" s="13" t="s">
        <v>33</v>
      </c>
      <c r="K14" s="13" t="s">
        <v>34</v>
      </c>
      <c r="L14" s="15"/>
    </row>
    <row r="15" customFormat="false" ht="15" hidden="false" customHeight="false" outlineLevel="0" collapsed="false">
      <c r="A15" s="12" t="n">
        <v>46276</v>
      </c>
      <c r="B15" s="13" t="s">
        <v>37</v>
      </c>
      <c r="C15" s="14" t="n">
        <v>0.375</v>
      </c>
      <c r="D15" s="14" t="n">
        <v>0.729166666666667</v>
      </c>
      <c r="E15" s="13" t="n">
        <v>30</v>
      </c>
      <c r="F15" s="13" t="n">
        <f aca="false">ROUND((D15-C15)*24-E15/60,2)</f>
        <v>8</v>
      </c>
      <c r="G15" s="13" t="n">
        <f aca="false">IF(J15="Y",0,MIN(8,F15))</f>
        <v>8</v>
      </c>
      <c r="H15" s="13" t="n">
        <f aca="false">IF(J15="Y",0,MAX(0,F15-8))</f>
        <v>0</v>
      </c>
      <c r="I15" s="13" t="n">
        <v>0</v>
      </c>
      <c r="J15" s="13" t="s">
        <v>33</v>
      </c>
      <c r="K15" s="13" t="s">
        <v>34</v>
      </c>
      <c r="L15" s="15"/>
    </row>
    <row r="16" customFormat="false" ht="15" hidden="false" customHeight="false" outlineLevel="0" collapsed="false">
      <c r="A16" s="12" t="n">
        <v>46277</v>
      </c>
      <c r="B16" s="13" t="s">
        <v>38</v>
      </c>
      <c r="C16" s="13"/>
      <c r="D16" s="13"/>
      <c r="E16" s="13"/>
      <c r="F16" s="13" t="n">
        <v>0</v>
      </c>
      <c r="G16" s="13" t="n">
        <f aca="false">IF(J16="Y",0,MIN(8,F16))</f>
        <v>0</v>
      </c>
      <c r="H16" s="13" t="n">
        <f aca="false">IF(J16="Y",0,MAX(0,F16-8))</f>
        <v>0</v>
      </c>
      <c r="I16" s="13" t="n">
        <v>0</v>
      </c>
      <c r="J16" s="13" t="s">
        <v>33</v>
      </c>
      <c r="K16" s="13"/>
      <c r="L16" s="15" t="s">
        <v>39</v>
      </c>
    </row>
    <row r="17" customFormat="false" ht="15" hidden="false" customHeight="false" outlineLevel="0" collapsed="false">
      <c r="A17" s="12" t="n">
        <v>46278</v>
      </c>
      <c r="B17" s="13" t="s">
        <v>40</v>
      </c>
      <c r="C17" s="13"/>
      <c r="D17" s="13"/>
      <c r="E17" s="13"/>
      <c r="F17" s="13" t="n">
        <v>0</v>
      </c>
      <c r="G17" s="13" t="n">
        <f aca="false">IF(J17="Y",0,MIN(8,F17))</f>
        <v>0</v>
      </c>
      <c r="H17" s="13" t="n">
        <f aca="false">IF(J17="Y",0,MAX(0,F17-8))</f>
        <v>0</v>
      </c>
      <c r="I17" s="13" t="n">
        <v>0</v>
      </c>
      <c r="J17" s="13" t="s">
        <v>33</v>
      </c>
      <c r="K17" s="13"/>
      <c r="L17" s="15" t="s">
        <v>39</v>
      </c>
    </row>
    <row r="18" customFormat="false" ht="15" hidden="false" customHeight="false" outlineLevel="0" collapsed="false">
      <c r="A18" s="16" t="s">
        <v>41</v>
      </c>
      <c r="B18" s="16"/>
      <c r="C18" s="16"/>
      <c r="D18" s="16"/>
      <c r="E18" s="16"/>
      <c r="F18" s="16" t="n">
        <f aca="false">SUM(F11:F17)</f>
        <v>40</v>
      </c>
      <c r="G18" s="16" t="n">
        <f aca="false">SUM(G11:G17)</f>
        <v>32</v>
      </c>
      <c r="H18" s="16" t="n">
        <f aca="false">SUM(H11:H17)</f>
        <v>0</v>
      </c>
      <c r="I18" s="16" t="n">
        <f aca="false">SUM(I11:I17)</f>
        <v>0</v>
      </c>
      <c r="J18" s="16"/>
      <c r="K18" s="16"/>
      <c r="L18" s="16"/>
    </row>
    <row r="20" customFormat="false" ht="15" hidden="false" customHeight="false" outlineLevel="0" collapsed="false">
      <c r="A20" s="4" t="s">
        <v>42</v>
      </c>
    </row>
    <row r="21" customFormat="false" ht="15" hidden="false" customHeight="false" outlineLevel="0" collapsed="false">
      <c r="A21" s="5" t="s">
        <v>43</v>
      </c>
      <c r="F21" s="4" t="n">
        <f aca="false">SUM(G11:G17)-MAX(0,SUM(G11:G17)-40)</f>
        <v>32</v>
      </c>
    </row>
    <row r="22" customFormat="false" ht="15" hidden="false" customHeight="false" outlineLevel="0" collapsed="false">
      <c r="A22" s="5" t="s">
        <v>44</v>
      </c>
      <c r="F22" s="4" t="n">
        <f aca="false">SUM(H11:H17)+MAX(0,SUM(G11:G17)-40)</f>
        <v>0</v>
      </c>
    </row>
    <row r="23" customFormat="false" ht="15" hidden="false" customHeight="false" outlineLevel="0" collapsed="false">
      <c r="A23" s="5" t="s">
        <v>45</v>
      </c>
      <c r="F23" s="4" t="n">
        <f aca="false">SUM(I11:I17)</f>
        <v>0</v>
      </c>
    </row>
    <row r="24" customFormat="false" ht="15" hidden="false" customHeight="false" outlineLevel="0" collapsed="false">
      <c r="A24" s="5" t="s">
        <v>46</v>
      </c>
      <c r="F24" s="4" t="n">
        <f aca="false">SUMIF(J11:J17,"Y",F11:F17)</f>
        <v>8</v>
      </c>
    </row>
    <row r="25" customFormat="false" ht="15" hidden="false" customHeight="false" outlineLevel="0" collapsed="false">
      <c r="A25" s="5" t="s">
        <v>47</v>
      </c>
      <c r="F25" s="4" t="n">
        <f aca="false">F18</f>
        <v>40</v>
      </c>
    </row>
    <row r="27" customFormat="false" ht="15" hidden="false" customHeight="false" outlineLevel="0" collapsed="false">
      <c r="A27" s="4" t="s">
        <v>48</v>
      </c>
      <c r="B27" s="17" t="s">
        <v>49</v>
      </c>
      <c r="G27" s="4" t="s">
        <v>16</v>
      </c>
      <c r="H27" s="18" t="n">
        <v>46278</v>
      </c>
    </row>
    <row r="28" customFormat="false" ht="15" hidden="false" customHeight="false" outlineLevel="0" collapsed="false">
      <c r="A28" s="4" t="s">
        <v>50</v>
      </c>
      <c r="B28" s="17" t="s">
        <v>51</v>
      </c>
      <c r="G28" s="4" t="s">
        <v>52</v>
      </c>
      <c r="H28" s="19" t="s">
        <v>53</v>
      </c>
    </row>
    <row r="30" customFormat="false" ht="15" hidden="false" customHeight="false" outlineLevel="0" collapsed="false">
      <c r="A30" s="2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2026-10-09T05:01:02Z</dcterms:created>
  <dc:creator>Synthetic Timesheet Generator</dc:creator>
  <dc:description/>
  <dc:language>en-US</dc:language>
  <cp:lastModifiedBy/>
  <dcterms:modified xsi:type="dcterms:W3CDTF">2026-10-09T05:01:02Z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